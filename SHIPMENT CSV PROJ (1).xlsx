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813BE84C72AA2F/Documents/"/>
    </mc:Choice>
  </mc:AlternateContent>
  <xr:revisionPtr revIDLastSave="0" documentId="8_{FBCEA43D-CA9B-4EEF-AADB-5754AAA107C5}" xr6:coauthVersionLast="47" xr6:coauthVersionMax="47" xr10:uidLastSave="{00000000-0000-0000-0000-000000000000}"/>
  <bookViews>
    <workbookView xWindow="-108" yWindow="-108" windowWidth="23256" windowHeight="12456" activeTab="1" xr2:uid="{1A6B915E-4BD7-4BFF-A027-8B1C7B6E0E63}"/>
  </bookViews>
  <sheets>
    <sheet name="PIVOT TABLE" sheetId="2" r:id="rId1"/>
    <sheet name="SHIPMENT CSV PROJ (1)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<sst xmlns="http://schemas.openxmlformats.org/spreadsheetml/2006/main" count="458" uniqueCount="120">
  <si>
    <t>Row Labels</t>
  </si>
  <si>
    <t>Sum of shipping_cost</t>
  </si>
  <si>
    <t>Sum of optimization_cost</t>
  </si>
  <si>
    <t>Air Express</t>
  </si>
  <si>
    <t>Ocean Freight</t>
  </si>
  <si>
    <t>Standard Ground</t>
  </si>
  <si>
    <t>StandardGround</t>
  </si>
  <si>
    <t>Two-Day Air</t>
  </si>
  <si>
    <t>Grand Total</t>
  </si>
  <si>
    <t>order_id</t>
  </si>
  <si>
    <t>shipment_mode</t>
  </si>
  <si>
    <t>warehouse_code</t>
  </si>
  <si>
    <t>shipping_cost</t>
  </si>
  <si>
    <t>ORD-1001</t>
  </si>
  <si>
    <t>WH-EAST</t>
  </si>
  <si>
    <t>ORD-1002</t>
  </si>
  <si>
    <t>WH-WEST</t>
  </si>
  <si>
    <t>ORD-1003</t>
  </si>
  <si>
    <t>WH-CENTRAL</t>
  </si>
  <si>
    <t>ORD-1004</t>
  </si>
  <si>
    <t>ORD-1005</t>
  </si>
  <si>
    <t>WH-NORTH</t>
  </si>
  <si>
    <t>ORD-1007</t>
  </si>
  <si>
    <t>ORD-1008</t>
  </si>
  <si>
    <t>WH-CENTRAl</t>
  </si>
  <si>
    <t>ORD-1009</t>
  </si>
  <si>
    <t>ORD-1010</t>
  </si>
  <si>
    <t>ORD-1011</t>
  </si>
  <si>
    <t>WH-SOUTH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</si>
  <si>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</si>
  <si>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</si>
  <si>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</si>
  <si>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</si>
  <si>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</si>
  <si>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</si>
  <si>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</si>
  <si>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</si>
  <si>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</si>
  <si>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</si>
  <si>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</si>
  <si>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</si>
  <si>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</si>
  <si>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</si>
  <si>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</si>
  <si>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</si>
  <si>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</si>
  <si>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</si>
  <si>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</si>
  <si>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</si>
  <si>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</si>
  <si>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</si>
  <si>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</si>
  <si>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</si>
  <si>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</si>
  <si>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</si>
  <si>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</si>
  <si>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</si>
  <si>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</si>
  <si>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</si>
  <si>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</si>
  <si>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</si>
  <si>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</si>
  <si>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</si>
  <si>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</si>
  <si>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</si>
  <si>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</si>
  <si>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</si>
  <si>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</si>
  <si>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</si>
  <si>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</si>
  <si>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</si>
  <si>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</si>
  <si>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</si>
  <si>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</si>
  <si>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</si>
  <si>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</si>
  <si>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</si>
  <si>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</si>
  <si>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</si>
  <si>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</si>
  <si>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</si>
  <si>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</si>
  <si>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</si>
  <si>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</si>
  <si>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</si>
  <si>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</si>
  <si>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</si>
  <si>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</si>
  <si>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</si>
  <si>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</si>
  <si>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</si>
  <si>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</si>
  <si>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</si>
  <si>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</si>
  <si>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</si>
  <si>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</si>
  <si>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</si>
  <si>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</si>
  <si>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</si>
  <si>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</si>
  <si>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</si>
  <si>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</si>
  <si>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</si>
  <si>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</si>
  <si>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</si>
  <si>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</si>
  <si>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TOTAL CURRENT SHIPPING COST=</t>
  </si>
  <si>
    <t>Saving KPI =</t>
  </si>
  <si>
    <t>percentage saving=</t>
  </si>
  <si>
    <t>leqad_time_days</t>
  </si>
  <si>
    <t>delivery_status</t>
  </si>
  <si>
    <t>optimization_mode</t>
  </si>
  <si>
    <t>optimization_cost</t>
  </si>
  <si>
    <t>5 on-Time</t>
  </si>
  <si>
    <t>Delayed</t>
  </si>
  <si>
    <t>On-Time</t>
  </si>
  <si>
    <t>Late</t>
  </si>
  <si>
    <t>TOTAL OPTIMIZED COST=</t>
  </si>
  <si>
    <t>Column1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</si>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</sst>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3.714614004632" createdVersion="8" refreshedVersion="8" minRefreshableVersion="3" recordCount="90" xr:uid="{0BB3BC6F-F56F-408C-83DF-802AC7D53277}">
  <cacheSource type="worksheet">
    <worksheetSource name="Table2"/>
  </cacheSource>
  <cacheFields count="8">
    <cacheField name="order_id" numFmtId="0">
      <sharedItems containsBlank="1"/>
    </cacheField>
    <cacheField name="shipment_mode" numFmtId="0">
      <sharedItems containsBlank="1" count="6">
        <s v="StandardGround"/>
        <s v="Air Express"/>
        <s v="Standard Ground"/>
        <s v="Ocean Freight"/>
        <s v="Two-Day Air"/>
        <m/>
      </sharedItems>
    </cacheField>
    <cacheField name="warehouse_code" numFmtId="0">
      <sharedItems/>
    </cacheField>
    <cacheField name="shipping_cost" numFmtId="0">
      <sharedItems containsSemiMixedTypes="0" containsString="0" containsNumber="1" minValue="14.468444010000001" maxValue="21845.3"/>
    </cacheField>
    <cacheField name="leqad_time_days" numFmtId="0">
      <sharedItems containsString="0" containsBlank="1" containsNumber="1" containsInteger="1" minValue="1" maxValue="15"/>
    </cacheField>
    <cacheField name="delivery_status" numFmtId="0">
      <sharedItems containsBlank="1"/>
    </cacheField>
    <cacheField name="optimization_mode" numFmtId="0">
      <sharedItems containsBlank="1"/>
    </cacheField>
    <cacheField name="optimization_cost" numFmtId="0">
      <sharedItems containsString="0" containsBlank="1" containsNumber="1" minValue="88.5" maxValue="18684.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ORD-1001"/>
    <x v="0"/>
    <s v="WH-EAST"/>
    <n v="120.5"/>
    <m/>
    <s v="5 on-Time"/>
    <s v="StandardGround"/>
    <n v="120.5"/>
  </r>
  <r>
    <s v="ORD-1002"/>
    <x v="1"/>
    <s v="WH-WEST"/>
    <n v="450"/>
    <n v="2"/>
    <s v="Delayed"/>
    <s v="Standard Ground"/>
    <n v="292.5"/>
  </r>
  <r>
    <s v="ORD-1003"/>
    <x v="2"/>
    <s v="WH-CENTRAL"/>
    <n v="95"/>
    <n v="4"/>
    <s v="On-Time"/>
    <s v="Standard Ground"/>
    <n v="95"/>
  </r>
  <r>
    <s v="ORD-1004"/>
    <x v="3"/>
    <s v="WH-EAST"/>
    <n v="310.2"/>
    <n v="12"/>
    <s v="On-Time"/>
    <s v="Ocean Freight"/>
    <n v="310.2"/>
  </r>
  <r>
    <s v="ORD-1005"/>
    <x v="1"/>
    <s v="WH-NORTH"/>
    <n v="520"/>
    <n v="3"/>
    <s v="Delayed"/>
    <s v="Standard Ground"/>
    <n v="338"/>
  </r>
  <r>
    <s v="ORD-1007"/>
    <x v="2"/>
    <s v="WH-WEST"/>
    <n v="135.75"/>
    <n v="4"/>
    <s v="On-Time"/>
    <s v="Standard Ground"/>
    <n v="135.75"/>
  </r>
  <r>
    <s v="ORD-1008"/>
    <x v="1"/>
    <s v="WH-CENTRAL"/>
    <n v="480"/>
    <n v="1"/>
    <s v="On-Time"/>
    <s v="Standard Ground"/>
    <n v="312"/>
  </r>
  <r>
    <s v="ORD-1009"/>
    <x v="2"/>
    <s v="WH-NORTH"/>
    <n v="105"/>
    <n v="5"/>
    <s v="On-Time"/>
    <s v="Standard Ground"/>
    <n v="105"/>
  </r>
  <r>
    <s v="ORD-1010"/>
    <x v="1"/>
    <s v="WH-EAST"/>
    <n v="410.5"/>
    <n v="2"/>
    <s v="On-Time"/>
    <s v="Standard Ground"/>
    <n v="266.82499999999999"/>
  </r>
  <r>
    <s v="ORD-1011"/>
    <x v="3"/>
    <s v="WH-SOUTH"/>
    <n v="290"/>
    <n v="14"/>
    <s v="Delayed"/>
    <s v="Ocean Freight"/>
    <n v="290"/>
  </r>
  <r>
    <s v="ORD-1012"/>
    <x v="2"/>
    <s v="WH-WEST"/>
    <n v="145.19999999999999"/>
    <n v="6"/>
    <s v="Late"/>
    <s v="Standard Ground"/>
    <n v="145.19999999999999"/>
  </r>
  <r>
    <s v="ORD-1013"/>
    <x v="4"/>
    <s v="WH-CENTRAL"/>
    <n v="230"/>
    <n v="2"/>
    <s v="On-Time"/>
    <s v="Two-Day Air"/>
    <n v="230"/>
  </r>
  <r>
    <s v="ORD-1014"/>
    <x v="2"/>
    <s v="WH-EAST"/>
    <n v="88.5"/>
    <n v="4"/>
    <s v="On-Time"/>
    <s v="Standard Ground"/>
    <n v="88.5"/>
  </r>
  <r>
    <s v="ORD-1015"/>
    <x v="1"/>
    <s v="WH-SOUTH"/>
    <n v="510"/>
    <n v="3"/>
    <s v="Delayed"/>
    <s v="Standard Ground"/>
    <n v="331.5"/>
  </r>
  <r>
    <s v="ORD-1016"/>
    <x v="2"/>
    <s v="WH-NORTH"/>
    <n v="115"/>
    <n v="5"/>
    <s v="On-Time"/>
    <s v="Standard Ground"/>
    <n v="115"/>
  </r>
  <r>
    <s v="ORD-1017"/>
    <x v="3"/>
    <s v="WH-WEST"/>
    <n v="340"/>
    <n v="15"/>
    <s v="On-Time"/>
    <s v="Ocean Freight"/>
    <n v="340"/>
  </r>
  <r>
    <s v="ORD-1018"/>
    <x v="4"/>
    <s v="WH-EAST"/>
    <n v="215.75"/>
    <n v="2"/>
    <s v="On-Time"/>
    <s v="Two-Day Air"/>
    <n v="215.75"/>
  </r>
  <r>
    <s v="ORD-1019"/>
    <x v="2"/>
    <s v="WH-CENTRAL"/>
    <n v="99"/>
    <n v="4"/>
    <s v="On-Time"/>
    <s v="Standard Ground"/>
    <n v="99"/>
  </r>
  <r>
    <s v="ORD-1020"/>
    <x v="1"/>
    <s v="WH-NORTH"/>
    <n v="460"/>
    <n v="2"/>
    <s v="On-Time"/>
    <s v="Standard Ground"/>
    <n v="299"/>
  </r>
  <r>
    <s v="ORD-1021"/>
    <x v="2"/>
    <s v="WH-SOUTH"/>
    <n v="130"/>
    <n v="7"/>
    <s v="Late"/>
    <s v="Standard Ground"/>
    <n v="130"/>
  </r>
  <r>
    <s v="ORD-1022"/>
    <x v="3"/>
    <s v="WH-CENTRAL"/>
    <n v="300.5"/>
    <n v="13"/>
    <s v="Delayed"/>
    <s v="Ocean Freight"/>
    <n v="300.5"/>
  </r>
  <r>
    <s v="ORD-1023"/>
    <x v="4"/>
    <s v="WH-WEST"/>
    <n v="245"/>
    <n v="3"/>
    <s v="On-Time"/>
    <s v="Two-Day Air"/>
    <n v="245"/>
  </r>
  <r>
    <s v="ORD-1024"/>
    <x v="2"/>
    <s v="WH-EAST"/>
    <n v="102"/>
    <n v="5"/>
    <s v="On-Time"/>
    <s v="Standard Ground"/>
    <n v="102"/>
  </r>
  <r>
    <s v="ORD-1025"/>
    <x v="1"/>
    <s v="WH-CENTRAL"/>
    <n v="490"/>
    <n v="2"/>
    <s v="Delayed"/>
    <s v="Standard Ground"/>
    <n v="318.5"/>
  </r>
  <r>
    <s v="ORD-1026"/>
    <x v="2"/>
    <s v="WH-NORTH"/>
    <n v="125.4"/>
    <n v="6"/>
    <s v="On-Time"/>
    <s v="Standard Ground"/>
    <n v="125.4"/>
  </r>
  <r>
    <s v="ORD-1027"/>
    <x v="4"/>
    <s v="WH-SOUTH"/>
    <n v="220"/>
    <n v="2"/>
    <s v="On-Time"/>
    <s v="Two-Day Air"/>
    <n v="220"/>
  </r>
  <r>
    <s v="ORD-1028"/>
    <x v="3"/>
    <s v="WH-EAST"/>
    <n v="325"/>
    <n v="12"/>
    <s v="On-Time"/>
    <s v="Ocean Freight"/>
    <n v="325"/>
  </r>
  <r>
    <s v="ORD-1029"/>
    <x v="2"/>
    <s v="WH-WEST"/>
    <n v="140"/>
    <n v="5"/>
    <s v="On-Time"/>
    <s v="Standard Ground"/>
    <n v="140"/>
  </r>
  <r>
    <s v="ORD-1030"/>
    <x v="1"/>
    <s v="WH-EAST"/>
    <n v="430"/>
    <n v="2"/>
    <s v="On-Time"/>
    <s v="Standard Ground"/>
    <n v="279.5"/>
  </r>
  <r>
    <s v="ORD-1031"/>
    <x v="2"/>
    <s v="WH-CENTRAL"/>
    <n v="92.5"/>
    <n v="4"/>
    <s v="Late"/>
    <s v="Standard Ground"/>
    <n v="92.5"/>
  </r>
  <r>
    <s v="ORD-1032"/>
    <x v="3"/>
    <s v="WH-SOUTH"/>
    <n v="285"/>
    <n v="14"/>
    <s v="On-Time"/>
    <s v="Ocean Freight"/>
    <n v="285"/>
  </r>
  <r>
    <s v="ORD-1033"/>
    <x v="4"/>
    <s v="WH-NORTH"/>
    <n v="235"/>
    <n v="2"/>
    <s v="On-Time"/>
    <s v="Two-Day Air"/>
    <n v="235"/>
  </r>
  <r>
    <s v="ORD-1034"/>
    <x v="2"/>
    <s v="WH-EAST"/>
    <n v="118"/>
    <n v="5"/>
    <s v="On-Time"/>
    <s v="Standard Ground"/>
    <n v="118"/>
  </r>
  <r>
    <s v="ORD-1035"/>
    <x v="1"/>
    <s v="WH-WEST"/>
    <n v="505"/>
    <n v="3"/>
    <s v="Delayed"/>
    <s v="Standard Ground"/>
    <n v="328.25"/>
  </r>
  <r>
    <s v="ORD-1036"/>
    <x v="2"/>
    <s v="WH-SOUTH"/>
    <n v="108.5"/>
    <n v="5"/>
    <s v="On-Time"/>
    <s v="Standard Ground"/>
    <n v="108.5"/>
  </r>
  <r>
    <s v="ORD-1037"/>
    <x v="3"/>
    <s v="WH-CENTRAL"/>
    <n v="315"/>
    <n v="13"/>
    <s v="On-Time"/>
    <s v="Ocean Freight"/>
    <n v="315"/>
  </r>
  <r>
    <s v="ORD-1038"/>
    <x v="4"/>
    <s v="WH-EAST"/>
    <n v="210"/>
    <n v="2"/>
    <s v="On-Time"/>
    <s v="Two-Day Air"/>
    <n v="210"/>
  </r>
  <r>
    <s v="ORD-1039"/>
    <x v="2"/>
    <s v="WH-NORTH"/>
    <n v="112"/>
    <n v="5"/>
    <s v="On-Time"/>
    <s v="Standard Ground"/>
    <n v="112"/>
  </r>
  <r>
    <s v="ORD-1040"/>
    <x v="1"/>
    <s v="WH-WEST"/>
    <n v="475"/>
    <n v="2"/>
    <s v="On-Time"/>
    <s v="Standard Ground"/>
    <n v="308.75"/>
  </r>
  <r>
    <s v="ORD-1041"/>
    <x v="3"/>
    <s v="WH-EAST"/>
    <n v="310"/>
    <n v="14"/>
    <s v="Delayed"/>
    <s v="Ocean Freight"/>
    <n v="310"/>
  </r>
  <r>
    <s v="ORD-1042"/>
    <x v="2"/>
    <s v="WH-SOUTH"/>
    <n v="98.5"/>
    <n v="4"/>
    <s v="On-Time"/>
    <s v="Standard Ground"/>
    <n v="98.5"/>
  </r>
  <r>
    <s v="ORD-1043"/>
    <x v="4"/>
    <s v="WH-CENTRAL"/>
    <n v="225"/>
    <n v="2"/>
    <s v="On-Time"/>
    <s v="Two-Day Air"/>
    <n v="225"/>
  </r>
  <r>
    <s v="ORD-1044"/>
    <x v="2"/>
    <s v="WH-EAST"/>
    <n v="132"/>
    <n v="6"/>
    <s v="Late"/>
    <s v="Standard Ground"/>
    <n v="132"/>
  </r>
  <r>
    <s v="ORD-1045"/>
    <x v="1"/>
    <s v="WH-NORTH"/>
    <n v="495"/>
    <n v="3"/>
    <s v="Delayed"/>
    <s v="Standard Ground"/>
    <n v="321.75"/>
  </r>
  <r>
    <s v="ORD-1046"/>
    <x v="2"/>
    <s v="WH-WEST"/>
    <n v="119"/>
    <n v="5"/>
    <s v="On-Time"/>
    <s v="Standard Ground"/>
    <n v="119"/>
  </r>
  <r>
    <s v="ORD-1047"/>
    <x v="3"/>
    <s v="WH-SOUTH"/>
    <n v="295"/>
    <n v="13"/>
    <s v="On-Time"/>
    <s v="Ocean Freight"/>
    <n v="295"/>
  </r>
  <r>
    <s v="ORD-1048"/>
    <x v="4"/>
    <s v="WH-EAST"/>
    <n v="240"/>
    <n v="2"/>
    <s v="On-Time"/>
    <s v="Two-Day Air"/>
    <n v="240"/>
  </r>
  <r>
    <s v="ORD-1049"/>
    <x v="2"/>
    <s v="WH-CENTRAL"/>
    <n v="104"/>
    <n v="5"/>
    <s v="On-Time"/>
    <s v="Standard Ground"/>
    <n v="104"/>
  </r>
  <r>
    <s v="ORD-1050"/>
    <x v="1"/>
    <s v="WH-SOUTH"/>
    <n v="420"/>
    <n v="2"/>
    <s v="On-Time"/>
    <s v="Standard Ground"/>
    <n v="273"/>
  </r>
  <r>
    <s v="ORD-1051"/>
    <x v="2"/>
    <s v="WH-NORTH"/>
    <n v="122.5"/>
    <n v="6"/>
    <s v="Late"/>
    <s v="Standard Ground"/>
    <n v="122.5"/>
  </r>
  <r>
    <s v="ORD-1052"/>
    <x v="3"/>
    <s v="WH-WEST"/>
    <n v="335"/>
    <n v="15"/>
    <s v="Delayed"/>
    <s v="Ocean Freight"/>
    <n v="335"/>
  </r>
  <r>
    <s v="ORD-1053"/>
    <x v="4"/>
    <s v="WH-CENTRAL"/>
    <n v="215"/>
    <n v="2"/>
    <s v="On-Time"/>
    <s v="Two-Day Air"/>
    <n v="215"/>
  </r>
  <r>
    <s v="ORD-1054"/>
    <x v="2"/>
    <s v="WH-EAST"/>
    <n v="95"/>
    <n v="4"/>
    <s v="On-Time"/>
    <s v="Standard Ground"/>
    <n v="95"/>
  </r>
  <r>
    <s v="ORD-1055"/>
    <x v="1"/>
    <s v="WH-WEST"/>
    <n v="515"/>
    <n v="3"/>
    <s v="Delayed"/>
    <s v="Standard Ground"/>
    <n v="334.75"/>
  </r>
  <r>
    <s v="ORD-1056"/>
    <x v="2"/>
    <s v="WH-SOUTH"/>
    <n v="110"/>
    <n v="5"/>
    <s v="On-Time"/>
    <s v="Standard Ground"/>
    <n v="110"/>
  </r>
  <r>
    <s v="ORD-1057"/>
    <x v="3"/>
    <s v="WH-CENTRAL"/>
    <n v="305"/>
    <n v="14"/>
    <s v="On-Time"/>
    <s v="Ocean Freight"/>
    <n v="305"/>
  </r>
  <r>
    <s v="ORD-1058"/>
    <x v="4"/>
    <s v="WH-NORTH"/>
    <n v="230"/>
    <n v="2"/>
    <s v="On-Time"/>
    <s v="Two-Day Air"/>
    <n v="230"/>
  </r>
  <r>
    <s v="ORD-1059"/>
    <x v="2"/>
    <s v="WH-WEST"/>
    <n v="142"/>
    <n v="6"/>
    <s v="On-Time"/>
    <s v="Standard Ground"/>
    <n v="142"/>
  </r>
  <r>
    <s v="ORD-1060"/>
    <x v="1"/>
    <s v="WH-EAST"/>
    <n v="445"/>
    <n v="2"/>
    <s v="On-Time"/>
    <s v="Standard Ground"/>
    <n v="289.25"/>
  </r>
  <r>
    <s v="ORD-1061"/>
    <x v="2"/>
    <s v="WH-CENTRAL"/>
    <n v="89"/>
    <n v="4"/>
    <s v="Late"/>
    <s v="Standard Ground"/>
    <n v="89"/>
  </r>
  <r>
    <s v="ORD-1062"/>
    <x v="3"/>
    <s v="WH-SOUTH"/>
    <n v="275"/>
    <n v="12"/>
    <s v="On-Time"/>
    <s v="Ocean Freight"/>
    <n v="275"/>
  </r>
  <r>
    <s v="ORD-1063"/>
    <x v="4"/>
    <s v="WH-WEST"/>
    <n v="250"/>
    <n v="3"/>
    <s v="On-Time"/>
    <s v="Two-Day Air"/>
    <n v="250"/>
  </r>
  <r>
    <s v="ORD-1064"/>
    <x v="2"/>
    <s v="WH-EAST"/>
    <n v="115.5"/>
    <n v="5"/>
    <s v="On-Time"/>
    <s v="Standard Ground"/>
    <n v="115.5"/>
  </r>
  <r>
    <s v="ORD-1065"/>
    <x v="1"/>
    <s v="WH-CENTRAL"/>
    <n v="485"/>
    <n v="2"/>
    <s v="Delayed"/>
    <s v="Standard Ground"/>
    <n v="315.25"/>
  </r>
  <r>
    <s v="ORD-1066"/>
    <x v="2"/>
    <s v="WH-NORTH"/>
    <n v="128"/>
    <n v="5"/>
    <s v="On-Time"/>
    <s v="Standard Ground"/>
    <n v="128"/>
  </r>
  <r>
    <s v="ORD-1067"/>
    <x v="4"/>
    <s v="WH-SOUTH"/>
    <n v="205"/>
    <n v="2"/>
    <s v="On-Time"/>
    <s v="Two-Day Air"/>
    <n v="205"/>
  </r>
  <r>
    <s v="ORD-1068"/>
    <x v="3"/>
    <s v="WH-EAST"/>
    <n v="320"/>
    <n v="13"/>
    <s v="On-Time"/>
    <s v="Ocean Freight"/>
    <n v="320"/>
  </r>
  <r>
    <s v="ORD-1069"/>
    <x v="2"/>
    <s v="WH-WEST"/>
    <n v="138"/>
    <n v="5"/>
    <s v="On-Time"/>
    <s v="Standard Ground"/>
    <n v="138"/>
  </r>
  <r>
    <s v="ORD-1070"/>
    <x v="1"/>
    <s v="WH-NORTH"/>
    <n v="465"/>
    <n v="2"/>
    <s v="On-Time"/>
    <s v="Standard Ground"/>
    <n v="302.25"/>
  </r>
  <r>
    <s v="ORD-1071"/>
    <x v="2"/>
    <s v="WH-CENTRAL"/>
    <n v="96"/>
    <n v="4"/>
    <s v="Late"/>
    <s v="Standard Ground"/>
    <n v="96"/>
  </r>
  <r>
    <s v="ORD-1072"/>
    <x v="3"/>
    <s v="WH-SOUTH"/>
    <n v="290"/>
    <n v="14"/>
    <s v="On-Time"/>
    <s v="Ocean Freight"/>
    <n v="290"/>
  </r>
  <r>
    <s v="ORD-1073"/>
    <x v="4"/>
    <s v="WH-EAST"/>
    <n v="220"/>
    <n v="2"/>
    <s v="On-Time"/>
    <s v="Two-Day Air"/>
    <n v="220"/>
  </r>
  <r>
    <s v="ORD-1074"/>
    <x v="2"/>
    <s v="WH-NORTH"/>
    <n v="108"/>
    <n v="5"/>
    <s v="On-Time"/>
    <s v="Standard Ground"/>
    <n v="108"/>
  </r>
  <r>
    <s v="ORD-1075"/>
    <x v="1"/>
    <s v="WH-WEST"/>
    <n v="530"/>
    <n v="3"/>
    <s v="Delayed"/>
    <s v="Standard Ground"/>
    <n v="344.5"/>
  </r>
  <r>
    <s v="ORD-1076"/>
    <x v="2"/>
    <s v="WH-SOUTH"/>
    <n v="114"/>
    <n v="5"/>
    <s v="On-Time"/>
    <s v="Standard Ground"/>
    <n v="114"/>
  </r>
  <r>
    <s v="ORD-1077"/>
    <x v="3"/>
    <s v="WH-CENTRAL"/>
    <n v="312"/>
    <n v="13"/>
    <s v="On-Time"/>
    <s v="Ocean Freight"/>
    <n v="312"/>
  </r>
  <r>
    <s v="ORD-1078"/>
    <x v="4"/>
    <s v="WH-EAST"/>
    <n v="218"/>
    <n v="2"/>
    <s v="On-Time"/>
    <s v="Two-Day Air"/>
    <n v="218"/>
  </r>
  <r>
    <s v="ORD-1079"/>
    <x v="2"/>
    <s v="WH-WEST"/>
    <n v="125"/>
    <n v="5"/>
    <s v="On-Time"/>
    <s v="Standard Ground"/>
    <n v="125"/>
  </r>
  <r>
    <s v="ORD-1080"/>
    <x v="1"/>
    <s v="WH-EAST"/>
    <n v="455"/>
    <n v="2"/>
    <s v="On-Time"/>
    <s v="Standard Ground"/>
    <n v="295.75"/>
  </r>
  <r>
    <s v="ORD-1081"/>
    <x v="2"/>
    <s v="WH-CENTRAL"/>
    <n v="94"/>
    <n v="4"/>
    <s v="On-Time"/>
    <s v="Standard Ground"/>
    <n v="94"/>
  </r>
  <r>
    <s v="ORD-1082"/>
    <x v="3"/>
    <s v="WH-SOUTH"/>
    <n v="280"/>
    <n v="14"/>
    <s v="Delayed"/>
    <s v="Ocean Freight"/>
    <n v="280"/>
  </r>
  <r>
    <s v="ORD-1083"/>
    <x v="4"/>
    <s v="WH-NORTH"/>
    <n v="235"/>
    <n v="2"/>
    <s v="On-Time"/>
    <s v="Two-Day Air"/>
    <n v="235"/>
  </r>
  <r>
    <s v="ORD-1084"/>
    <x v="2"/>
    <s v="WH-EAST"/>
    <n v="119.5"/>
    <n v="5"/>
    <s v="On-Time"/>
    <s v="Standard Ground"/>
    <n v="119.5"/>
  </r>
  <r>
    <s v="ORD-1085"/>
    <x v="1"/>
    <s v="WH-WEST"/>
    <n v="490"/>
    <n v="3"/>
    <s v="Delayed"/>
    <s v="Standard Ground"/>
    <n v="318.5"/>
  </r>
  <r>
    <s v="ORD-1086"/>
    <x v="2"/>
    <s v="WH-SOUTH"/>
    <n v="105"/>
    <n v="5"/>
    <s v="On-Time"/>
    <s v="Standard Ground"/>
    <n v="105"/>
  </r>
  <r>
    <s v="ORD-1087"/>
    <x v="3"/>
    <s v="WH-CENTRAL"/>
    <n v="318"/>
    <n v="13"/>
    <s v="On-Time"/>
    <s v="Ocean Freight"/>
    <n v="318"/>
  </r>
  <r>
    <s v="ORD-1088"/>
    <x v="4"/>
    <s v="WH-EAST"/>
    <n v="228"/>
    <n v="2"/>
    <s v="On-Time"/>
    <s v="Two-Day Air"/>
    <n v="228"/>
  </r>
  <r>
    <m/>
    <x v="5"/>
    <s v="TOTAL CURRENT SHIPPING COST="/>
    <n v="21845.3"/>
    <m/>
    <m/>
    <s v="TOTAL OPTIMIZED COST="/>
    <n v="18684.625"/>
  </r>
  <r>
    <m/>
    <x v="5"/>
    <s v="Saving KPI ="/>
    <n v="3160.6750000000002"/>
    <m/>
    <m/>
    <m/>
    <m/>
  </r>
  <r>
    <m/>
    <x v="5"/>
    <s v="percentage saving="/>
    <n v="14.46844401000000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3303B0-4926-41F5-A17B-19FF8BA4DDA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8">
    <pivotField showAll="0"/>
    <pivotField axis="axisRow" showAll="0">
      <items count="7">
        <item x="1"/>
        <item x="3"/>
        <item x="2"/>
        <item x="0"/>
        <item x="4"/>
        <item x="5"/>
        <item t="default"/>
      </items>
    </pivotField>
    <pivotField showAll="0"/>
    <pivotField dataField="1"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hipping_cost" fld="3" baseField="0" baseItem="0"/>
    <dataField name="Sum of optimization_cos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BFF443-A0A1-445E-9F84-2FFEE1356555}" name="Table1" displayName="Table1" ref="Q83:Q84" insertRow="1" totalsRowShown="0">
  <autoFilter ref="Q83:Q84" xr:uid="{A9BFF443-A0A1-445E-9F84-2FFEE1356555}"/>
  <tableColumns count="1">
    <tableColumn id="1" xr3:uid="{5D74CFE5-2617-4199-91F8-5B2CBDDD8FA2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D49E03-F55C-486E-BCC2-61F3F5718302}" name="Table2" displayName="Table2" ref="A1:H91" totalsRowShown="0">
  <autoFilter ref="A1:H91" xr:uid="{08D49E03-F55C-486E-BCC2-61F3F5718302}"/>
  <tableColumns count="8">
    <tableColumn id="1" xr3:uid="{36D2262C-0F12-43C7-97D6-5F5BCA42D7E7}" name="order_id"/>
    <tableColumn id="2" xr3:uid="{FA84C00C-2D86-482B-A5DA-7D206362D6C3}" name="shipment_mode"/>
    <tableColumn id="3" xr3:uid="{CD683206-D861-40D2-9308-F51A438F05D3}" name="warehouse_code"/>
    <tableColumn id="4" xr3:uid="{F88721D3-DAF1-4583-855A-C901220C5A95}" name="shipping_cost"/>
    <tableColumn id="5" xr3:uid="{98F501C8-9857-4A9C-8FFE-573CBE146D13}" name="leqad_time_days"/>
    <tableColumn id="6" xr3:uid="{37772714-1417-47E1-A10E-28B293025328}" name="delivery_status"/>
    <tableColumn id="7" xr3:uid="{5E9BA5DC-AF01-4292-9301-6AFF6D1888A0}" name="optimization_mode"/>
    <tableColumn id="8" xr3:uid="{7A51513A-49BE-4CFD-A87E-3DE51858AFBE}" name="optimization_cos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F7BB-E2C5-4F89-9F92-D6BBA5AAC4ED}">
  <dimension ref="A3:C10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9.21875" bestFit="1" customWidth="1"/>
    <col min="3" max="3" width="22.77734375" bestFit="1" customWidth="1"/>
  </cols>
  <sheetData>
    <row r="3" spans="1:3" x14ac:dyDescent="0.3">
      <c r="A3" s="1" t="s">
        <v>0</v>
      </c>
      <c r="B3" t="s">
        <v>1</v>
      </c>
      <c r="C3" t="s">
        <v>2</v>
      </c>
    </row>
    <row r="4" spans="1:3" x14ac:dyDescent="0.3">
      <c r="A4" s="2" t="s">
        <v>3</v>
      </c>
      <c r="B4" s="3">
        <v>9030.5</v>
      </c>
      <c r="C4" s="3">
        <v>5869.8249999999998</v>
      </c>
    </row>
    <row r="5" spans="1:3" x14ac:dyDescent="0.3">
      <c r="A5" s="2" t="s">
        <v>4</v>
      </c>
      <c r="B5" s="3">
        <v>5205.7</v>
      </c>
      <c r="C5" s="3">
        <v>5205.7</v>
      </c>
    </row>
    <row r="6" spans="1:3" x14ac:dyDescent="0.3">
      <c r="A6" s="2" t="s">
        <v>5</v>
      </c>
      <c r="B6" s="3">
        <v>3866.8500000000004</v>
      </c>
      <c r="C6" s="3">
        <v>3866.8500000000004</v>
      </c>
    </row>
    <row r="7" spans="1:3" x14ac:dyDescent="0.3">
      <c r="A7" s="2" t="s">
        <v>6</v>
      </c>
      <c r="B7" s="3">
        <v>120.5</v>
      </c>
      <c r="C7" s="3">
        <v>120.5</v>
      </c>
    </row>
    <row r="8" spans="1:3" x14ac:dyDescent="0.3">
      <c r="A8" s="2" t="s">
        <v>7</v>
      </c>
      <c r="B8" s="3">
        <v>3621.75</v>
      </c>
      <c r="C8" s="3">
        <v>3621.75</v>
      </c>
    </row>
    <row r="9" spans="1:3" x14ac:dyDescent="0.3">
      <c r="A9" s="2" t="s">
        <v>119</v>
      </c>
      <c r="B9" s="3">
        <v>25020.443444009998</v>
      </c>
      <c r="C9" s="3">
        <v>18684.625</v>
      </c>
    </row>
    <row r="10" spans="1:3" x14ac:dyDescent="0.3">
      <c r="A10" s="2" t="s">
        <v>8</v>
      </c>
      <c r="B10" s="3">
        <v>46865.743444010004</v>
      </c>
      <c r="C10" s="3">
        <v>37369.25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2595-4034-4439-BBCA-389355656F8D}">
  <dimension ref="A1:Q91"/>
  <sheetViews>
    <sheetView tabSelected="1" workbookViewId="0">
      <selection activeCell="B3" sqref="B3"/>
    </sheetView>
  </sheetViews>
  <sheetFormatPr defaultRowHeight="14.4" x14ac:dyDescent="0.3"/>
  <cols>
    <col min="1" max="1" width="10" customWidth="1"/>
    <col min="2" max="2" width="16.6640625" customWidth="1"/>
    <col min="3" max="3" width="29.21875" bestFit="1" customWidth="1"/>
    <col min="4" max="4" width="14.44140625" customWidth="1"/>
    <col min="5" max="5" width="17.21875" customWidth="1"/>
    <col min="6" max="6" width="15.5546875" customWidth="1"/>
    <col min="7" max="7" width="22.109375" bestFit="1" customWidth="1"/>
    <col min="8" max="8" width="17.88671875" customWidth="1"/>
    <col min="17" max="17" width="10.44140625" customWidth="1"/>
  </cols>
  <sheetData>
    <row r="1" spans="1:8" x14ac:dyDescent="0.3">
      <c r="A1" t="s">
        <v>9</v>
      </c>
      <c r="B1" t="s">
        <v>10</v>
      </c>
      <c r="C1" t="s">
        <v>11</v>
      </c>
      <c r="D1" t="s">
        <v>12</v>
      </c>
      <c r="E1" t="s">
        <v>109</v>
      </c>
      <c r="F1" t="s">
        <v>110</v>
      </c>
      <c r="G1" t="s">
        <v>111</v>
      </c>
      <c r="H1" t="s">
        <v>112</v>
      </c>
    </row>
    <row r="2" spans="1:8" x14ac:dyDescent="0.3">
      <c r="A2" t="s">
        <v>13</v>
      </c>
      <c r="B2" t="s">
        <v>6</v>
      </c>
      <c r="C2" t="s">
        <v>14</v>
      </c>
      <c r="D2">
        <v>120.5</v>
      </c>
      <c r="F2" t="s">
        <v>113</v>
      </c>
      <c r="G2" t="s">
        <v>6</v>
      </c>
      <c r="H2">
        <v>120.5</v>
      </c>
    </row>
    <row r="3" spans="1:8" x14ac:dyDescent="0.3">
      <c r="A3" t="s">
        <v>15</v>
      </c>
      <c r="B3" t="s">
        <v>3</v>
      </c>
      <c r="C3" t="s">
        <v>16</v>
      </c>
      <c r="D3">
        <v>450</v>
      </c>
      <c r="E3">
        <v>2</v>
      </c>
      <c r="F3" t="s">
        <v>114</v>
      </c>
      <c r="G3" t="s">
        <v>5</v>
      </c>
      <c r="H3">
        <v>292.5</v>
      </c>
    </row>
    <row r="4" spans="1:8" x14ac:dyDescent="0.3">
      <c r="A4" t="s">
        <v>17</v>
      </c>
      <c r="B4" t="s">
        <v>5</v>
      </c>
      <c r="C4" t="s">
        <v>18</v>
      </c>
      <c r="D4">
        <v>95</v>
      </c>
      <c r="E4">
        <v>4</v>
      </c>
      <c r="F4" t="s">
        <v>115</v>
      </c>
      <c r="G4" t="s">
        <v>5</v>
      </c>
      <c r="H4">
        <v>95</v>
      </c>
    </row>
    <row r="5" spans="1:8" x14ac:dyDescent="0.3">
      <c r="A5" t="s">
        <v>19</v>
      </c>
      <c r="B5" t="s">
        <v>4</v>
      </c>
      <c r="C5" t="s">
        <v>14</v>
      </c>
      <c r="D5">
        <v>310.2</v>
      </c>
      <c r="E5">
        <v>12</v>
      </c>
      <c r="F5" t="s">
        <v>115</v>
      </c>
      <c r="G5" t="s">
        <v>4</v>
      </c>
      <c r="H5">
        <v>310.2</v>
      </c>
    </row>
    <row r="6" spans="1:8" x14ac:dyDescent="0.3">
      <c r="A6" t="s">
        <v>20</v>
      </c>
      <c r="B6" t="s">
        <v>3</v>
      </c>
      <c r="C6" t="s">
        <v>21</v>
      </c>
      <c r="D6">
        <v>520</v>
      </c>
      <c r="E6">
        <v>3</v>
      </c>
      <c r="F6" t="s">
        <v>114</v>
      </c>
      <c r="G6" t="s">
        <v>5</v>
      </c>
      <c r="H6">
        <v>338</v>
      </c>
    </row>
    <row r="7" spans="1:8" x14ac:dyDescent="0.3">
      <c r="A7" t="s">
        <v>22</v>
      </c>
      <c r="B7" t="s">
        <v>5</v>
      </c>
      <c r="C7" t="s">
        <v>16</v>
      </c>
      <c r="D7">
        <v>135.75</v>
      </c>
      <c r="E7">
        <v>4</v>
      </c>
      <c r="F7" t="s">
        <v>115</v>
      </c>
      <c r="G7" t="s">
        <v>5</v>
      </c>
      <c r="H7">
        <v>135.75</v>
      </c>
    </row>
    <row r="8" spans="1:8" x14ac:dyDescent="0.3">
      <c r="A8" t="s">
        <v>23</v>
      </c>
      <c r="B8" t="s">
        <v>3</v>
      </c>
      <c r="C8" t="s">
        <v>24</v>
      </c>
      <c r="D8">
        <v>480</v>
      </c>
      <c r="E8">
        <v>1</v>
      </c>
      <c r="F8" t="s">
        <v>115</v>
      </c>
      <c r="G8" t="s">
        <v>5</v>
      </c>
      <c r="H8">
        <v>312</v>
      </c>
    </row>
    <row r="9" spans="1:8" x14ac:dyDescent="0.3">
      <c r="A9" t="s">
        <v>25</v>
      </c>
      <c r="B9" t="s">
        <v>5</v>
      </c>
      <c r="C9" t="s">
        <v>21</v>
      </c>
      <c r="D9">
        <v>105</v>
      </c>
      <c r="E9">
        <v>5</v>
      </c>
      <c r="F9" t="s">
        <v>115</v>
      </c>
      <c r="G9" t="s">
        <v>5</v>
      </c>
      <c r="H9">
        <v>105</v>
      </c>
    </row>
    <row r="10" spans="1:8" x14ac:dyDescent="0.3">
      <c r="A10" t="s">
        <v>26</v>
      </c>
      <c r="B10" t="s">
        <v>3</v>
      </c>
      <c r="C10" t="s">
        <v>14</v>
      </c>
      <c r="D10">
        <v>410.5</v>
      </c>
      <c r="E10">
        <v>2</v>
      </c>
      <c r="F10" t="s">
        <v>115</v>
      </c>
      <c r="G10" t="s">
        <v>5</v>
      </c>
      <c r="H10">
        <v>266.82499999999999</v>
      </c>
    </row>
    <row r="11" spans="1:8" x14ac:dyDescent="0.3">
      <c r="A11" t="s">
        <v>27</v>
      </c>
      <c r="B11" t="s">
        <v>4</v>
      </c>
      <c r="C11" t="s">
        <v>28</v>
      </c>
      <c r="D11">
        <v>290</v>
      </c>
      <c r="E11">
        <v>14</v>
      </c>
      <c r="F11" t="s">
        <v>114</v>
      </c>
      <c r="G11" t="s">
        <v>4</v>
      </c>
      <c r="H11">
        <v>290</v>
      </c>
    </row>
    <row r="12" spans="1:8" x14ac:dyDescent="0.3">
      <c r="A12" t="s">
        <v>29</v>
      </c>
      <c r="B12" t="s">
        <v>5</v>
      </c>
      <c r="C12" t="s">
        <v>16</v>
      </c>
      <c r="D12">
        <v>145.19999999999999</v>
      </c>
      <c r="E12">
        <v>6</v>
      </c>
      <c r="F12" t="s">
        <v>116</v>
      </c>
      <c r="G12" t="s">
        <v>5</v>
      </c>
      <c r="H12">
        <v>145.19999999999999</v>
      </c>
    </row>
    <row r="13" spans="1:8" x14ac:dyDescent="0.3">
      <c r="A13" t="s">
        <v>30</v>
      </c>
      <c r="B13" t="s">
        <v>7</v>
      </c>
      <c r="C13" t="s">
        <v>18</v>
      </c>
      <c r="D13">
        <v>230</v>
      </c>
      <c r="E13">
        <v>2</v>
      </c>
      <c r="F13" t="s">
        <v>115</v>
      </c>
      <c r="G13" t="s">
        <v>7</v>
      </c>
      <c r="H13">
        <v>230</v>
      </c>
    </row>
    <row r="14" spans="1:8" x14ac:dyDescent="0.3">
      <c r="A14" t="s">
        <v>31</v>
      </c>
      <c r="B14" t="s">
        <v>5</v>
      </c>
      <c r="C14" t="s">
        <v>14</v>
      </c>
      <c r="D14">
        <v>88.5</v>
      </c>
      <c r="E14">
        <v>4</v>
      </c>
      <c r="F14" t="s">
        <v>115</v>
      </c>
      <c r="G14" t="s">
        <v>5</v>
      </c>
      <c r="H14">
        <v>88.5</v>
      </c>
    </row>
    <row r="15" spans="1:8" x14ac:dyDescent="0.3">
      <c r="A15" t="s">
        <v>32</v>
      </c>
      <c r="B15" t="s">
        <v>3</v>
      </c>
      <c r="C15" t="s">
        <v>28</v>
      </c>
      <c r="D15">
        <v>510</v>
      </c>
      <c r="E15">
        <v>3</v>
      </c>
      <c r="F15" t="s">
        <v>114</v>
      </c>
      <c r="G15" t="s">
        <v>5</v>
      </c>
      <c r="H15">
        <v>331.5</v>
      </c>
    </row>
    <row r="16" spans="1:8" x14ac:dyDescent="0.3">
      <c r="A16" t="s">
        <v>33</v>
      </c>
      <c r="B16" t="s">
        <v>5</v>
      </c>
      <c r="C16" t="s">
        <v>21</v>
      </c>
      <c r="D16">
        <v>115</v>
      </c>
      <c r="E16">
        <v>5</v>
      </c>
      <c r="F16" t="s">
        <v>115</v>
      </c>
      <c r="G16" t="s">
        <v>5</v>
      </c>
      <c r="H16">
        <v>115</v>
      </c>
    </row>
    <row r="17" spans="1:8" x14ac:dyDescent="0.3">
      <c r="A17" t="s">
        <v>34</v>
      </c>
      <c r="B17" t="s">
        <v>4</v>
      </c>
      <c r="C17" t="s">
        <v>16</v>
      </c>
      <c r="D17">
        <v>340</v>
      </c>
      <c r="E17">
        <v>15</v>
      </c>
      <c r="F17" t="s">
        <v>115</v>
      </c>
      <c r="G17" t="s">
        <v>4</v>
      </c>
      <c r="H17">
        <v>340</v>
      </c>
    </row>
    <row r="18" spans="1:8" x14ac:dyDescent="0.3">
      <c r="A18" t="s">
        <v>35</v>
      </c>
      <c r="B18" t="s">
        <v>7</v>
      </c>
      <c r="C18" t="s">
        <v>14</v>
      </c>
      <c r="D18">
        <v>215.75</v>
      </c>
      <c r="E18">
        <v>2</v>
      </c>
      <c r="F18" t="s">
        <v>115</v>
      </c>
      <c r="G18" t="s">
        <v>7</v>
      </c>
      <c r="H18">
        <v>215.75</v>
      </c>
    </row>
    <row r="19" spans="1:8" x14ac:dyDescent="0.3">
      <c r="A19" t="s">
        <v>36</v>
      </c>
      <c r="B19" t="s">
        <v>5</v>
      </c>
      <c r="C19" t="s">
        <v>18</v>
      </c>
      <c r="D19">
        <v>99</v>
      </c>
      <c r="E19">
        <v>4</v>
      </c>
      <c r="F19" t="s">
        <v>115</v>
      </c>
      <c r="G19" t="s">
        <v>5</v>
      </c>
      <c r="H19">
        <v>99</v>
      </c>
    </row>
    <row r="20" spans="1:8" x14ac:dyDescent="0.3">
      <c r="A20" t="s">
        <v>37</v>
      </c>
      <c r="B20" t="s">
        <v>3</v>
      </c>
      <c r="C20" t="s">
        <v>21</v>
      </c>
      <c r="D20">
        <v>460</v>
      </c>
      <c r="E20">
        <v>2</v>
      </c>
      <c r="F20" t="s">
        <v>115</v>
      </c>
      <c r="G20" t="s">
        <v>5</v>
      </c>
      <c r="H20">
        <v>299</v>
      </c>
    </row>
    <row r="21" spans="1:8" x14ac:dyDescent="0.3">
      <c r="A21" t="s">
        <v>38</v>
      </c>
      <c r="B21" t="s">
        <v>5</v>
      </c>
      <c r="C21" t="s">
        <v>28</v>
      </c>
      <c r="D21">
        <v>130</v>
      </c>
      <c r="E21">
        <v>7</v>
      </c>
      <c r="F21" t="s">
        <v>116</v>
      </c>
      <c r="G21" t="s">
        <v>5</v>
      </c>
      <c r="H21">
        <v>130</v>
      </c>
    </row>
    <row r="22" spans="1:8" x14ac:dyDescent="0.3">
      <c r="A22" t="s">
        <v>39</v>
      </c>
      <c r="B22" t="s">
        <v>4</v>
      </c>
      <c r="C22" t="s">
        <v>18</v>
      </c>
      <c r="D22">
        <v>300.5</v>
      </c>
      <c r="E22">
        <v>13</v>
      </c>
      <c r="F22" t="s">
        <v>114</v>
      </c>
      <c r="G22" t="s">
        <v>4</v>
      </c>
      <c r="H22">
        <v>300.5</v>
      </c>
    </row>
    <row r="23" spans="1:8" x14ac:dyDescent="0.3">
      <c r="A23" t="s">
        <v>40</v>
      </c>
      <c r="B23" t="s">
        <v>7</v>
      </c>
      <c r="C23" t="s">
        <v>16</v>
      </c>
      <c r="D23">
        <v>245</v>
      </c>
      <c r="E23">
        <v>3</v>
      </c>
      <c r="F23" t="s">
        <v>115</v>
      </c>
      <c r="G23" t="s">
        <v>7</v>
      </c>
      <c r="H23">
        <v>245</v>
      </c>
    </row>
    <row r="24" spans="1:8" x14ac:dyDescent="0.3">
      <c r="A24" t="s">
        <v>41</v>
      </c>
      <c r="B24" t="s">
        <v>5</v>
      </c>
      <c r="C24" t="s">
        <v>14</v>
      </c>
      <c r="D24">
        <v>102</v>
      </c>
      <c r="E24">
        <v>5</v>
      </c>
      <c r="F24" t="s">
        <v>115</v>
      </c>
      <c r="G24" t="s">
        <v>5</v>
      </c>
      <c r="H24">
        <v>102</v>
      </c>
    </row>
    <row r="25" spans="1:8" x14ac:dyDescent="0.3">
      <c r="A25" t="s">
        <v>42</v>
      </c>
      <c r="B25" t="s">
        <v>3</v>
      </c>
      <c r="C25" t="s">
        <v>18</v>
      </c>
      <c r="D25">
        <v>490</v>
      </c>
      <c r="E25">
        <v>2</v>
      </c>
      <c r="F25" t="s">
        <v>114</v>
      </c>
      <c r="G25" t="s">
        <v>5</v>
      </c>
      <c r="H25">
        <v>318.5</v>
      </c>
    </row>
    <row r="26" spans="1:8" x14ac:dyDescent="0.3">
      <c r="A26" t="s">
        <v>43</v>
      </c>
      <c r="B26" t="s">
        <v>5</v>
      </c>
      <c r="C26" t="s">
        <v>21</v>
      </c>
      <c r="D26">
        <v>125.4</v>
      </c>
      <c r="E26">
        <v>6</v>
      </c>
      <c r="F26" t="s">
        <v>115</v>
      </c>
      <c r="G26" t="s">
        <v>5</v>
      </c>
      <c r="H26">
        <v>125.4</v>
      </c>
    </row>
    <row r="27" spans="1:8" x14ac:dyDescent="0.3">
      <c r="A27" t="s">
        <v>44</v>
      </c>
      <c r="B27" t="s">
        <v>7</v>
      </c>
      <c r="C27" t="s">
        <v>28</v>
      </c>
      <c r="D27">
        <v>220</v>
      </c>
      <c r="E27">
        <v>2</v>
      </c>
      <c r="F27" t="s">
        <v>115</v>
      </c>
      <c r="G27" t="s">
        <v>7</v>
      </c>
      <c r="H27">
        <v>220</v>
      </c>
    </row>
    <row r="28" spans="1:8" x14ac:dyDescent="0.3">
      <c r="A28" t="s">
        <v>45</v>
      </c>
      <c r="B28" t="s">
        <v>4</v>
      </c>
      <c r="C28" t="s">
        <v>14</v>
      </c>
      <c r="D28">
        <v>325</v>
      </c>
      <c r="E28">
        <v>12</v>
      </c>
      <c r="F28" t="s">
        <v>115</v>
      </c>
      <c r="G28" t="s">
        <v>4</v>
      </c>
      <c r="H28">
        <v>325</v>
      </c>
    </row>
    <row r="29" spans="1:8" x14ac:dyDescent="0.3">
      <c r="A29" t="s">
        <v>46</v>
      </c>
      <c r="B29" t="s">
        <v>5</v>
      </c>
      <c r="C29" t="s">
        <v>16</v>
      </c>
      <c r="D29">
        <v>140</v>
      </c>
      <c r="E29">
        <v>5</v>
      </c>
      <c r="F29" t="s">
        <v>115</v>
      </c>
      <c r="G29" t="s">
        <v>5</v>
      </c>
      <c r="H29">
        <v>140</v>
      </c>
    </row>
    <row r="30" spans="1:8" x14ac:dyDescent="0.3">
      <c r="A30" t="s">
        <v>47</v>
      </c>
      <c r="B30" t="s">
        <v>3</v>
      </c>
      <c r="C30" t="s">
        <v>14</v>
      </c>
      <c r="D30">
        <v>430</v>
      </c>
      <c r="E30">
        <v>2</v>
      </c>
      <c r="F30" t="s">
        <v>115</v>
      </c>
      <c r="G30" t="s">
        <v>5</v>
      </c>
      <c r="H30">
        <v>279.5</v>
      </c>
    </row>
    <row r="31" spans="1:8" x14ac:dyDescent="0.3">
      <c r="A31" t="s">
        <v>48</v>
      </c>
      <c r="B31" t="s">
        <v>5</v>
      </c>
      <c r="C31" t="s">
        <v>18</v>
      </c>
      <c r="D31">
        <v>92.5</v>
      </c>
      <c r="E31">
        <v>4</v>
      </c>
      <c r="F31" t="s">
        <v>116</v>
      </c>
      <c r="G31" t="s">
        <v>5</v>
      </c>
      <c r="H31">
        <v>92.5</v>
      </c>
    </row>
    <row r="32" spans="1:8" x14ac:dyDescent="0.3">
      <c r="A32" t="s">
        <v>49</v>
      </c>
      <c r="B32" t="s">
        <v>4</v>
      </c>
      <c r="C32" t="s">
        <v>28</v>
      </c>
      <c r="D32">
        <v>285</v>
      </c>
      <c r="E32">
        <v>14</v>
      </c>
      <c r="F32" t="s">
        <v>115</v>
      </c>
      <c r="G32" t="s">
        <v>4</v>
      </c>
      <c r="H32">
        <v>285</v>
      </c>
    </row>
    <row r="33" spans="1:8" x14ac:dyDescent="0.3">
      <c r="A33" t="s">
        <v>50</v>
      </c>
      <c r="B33" t="s">
        <v>7</v>
      </c>
      <c r="C33" t="s">
        <v>21</v>
      </c>
      <c r="D33">
        <v>235</v>
      </c>
      <c r="E33">
        <v>2</v>
      </c>
      <c r="F33" t="s">
        <v>115</v>
      </c>
      <c r="G33" t="s">
        <v>7</v>
      </c>
      <c r="H33">
        <v>235</v>
      </c>
    </row>
    <row r="34" spans="1:8" x14ac:dyDescent="0.3">
      <c r="A34" t="s">
        <v>51</v>
      </c>
      <c r="B34" t="s">
        <v>5</v>
      </c>
      <c r="C34" t="s">
        <v>14</v>
      </c>
      <c r="D34">
        <v>118</v>
      </c>
      <c r="E34">
        <v>5</v>
      </c>
      <c r="F34" t="s">
        <v>115</v>
      </c>
      <c r="G34" t="s">
        <v>5</v>
      </c>
      <c r="H34">
        <v>118</v>
      </c>
    </row>
    <row r="35" spans="1:8" x14ac:dyDescent="0.3">
      <c r="A35" t="s">
        <v>52</v>
      </c>
      <c r="B35" t="s">
        <v>3</v>
      </c>
      <c r="C35" t="s">
        <v>16</v>
      </c>
      <c r="D35">
        <v>505</v>
      </c>
      <c r="E35">
        <v>3</v>
      </c>
      <c r="F35" t="s">
        <v>114</v>
      </c>
      <c r="G35" t="s">
        <v>5</v>
      </c>
      <c r="H35">
        <v>328.25</v>
      </c>
    </row>
    <row r="36" spans="1:8" x14ac:dyDescent="0.3">
      <c r="A36" t="s">
        <v>53</v>
      </c>
      <c r="B36" t="s">
        <v>5</v>
      </c>
      <c r="C36" t="s">
        <v>28</v>
      </c>
      <c r="D36">
        <v>108.5</v>
      </c>
      <c r="E36">
        <v>5</v>
      </c>
      <c r="F36" t="s">
        <v>115</v>
      </c>
      <c r="G36" t="s">
        <v>5</v>
      </c>
      <c r="H36">
        <v>108.5</v>
      </c>
    </row>
    <row r="37" spans="1:8" x14ac:dyDescent="0.3">
      <c r="A37" t="s">
        <v>54</v>
      </c>
      <c r="B37" t="s">
        <v>4</v>
      </c>
      <c r="C37" t="s">
        <v>18</v>
      </c>
      <c r="D37">
        <v>315</v>
      </c>
      <c r="E37">
        <v>13</v>
      </c>
      <c r="F37" t="s">
        <v>115</v>
      </c>
      <c r="G37" t="s">
        <v>4</v>
      </c>
      <c r="H37">
        <v>315</v>
      </c>
    </row>
    <row r="38" spans="1:8" x14ac:dyDescent="0.3">
      <c r="A38" t="s">
        <v>55</v>
      </c>
      <c r="B38" t="s">
        <v>7</v>
      </c>
      <c r="C38" t="s">
        <v>14</v>
      </c>
      <c r="D38">
        <v>210</v>
      </c>
      <c r="E38">
        <v>2</v>
      </c>
      <c r="F38" t="s">
        <v>115</v>
      </c>
      <c r="G38" t="s">
        <v>7</v>
      </c>
      <c r="H38">
        <v>210</v>
      </c>
    </row>
    <row r="39" spans="1:8" x14ac:dyDescent="0.3">
      <c r="A39" t="s">
        <v>56</v>
      </c>
      <c r="B39" t="s">
        <v>5</v>
      </c>
      <c r="C39" t="s">
        <v>21</v>
      </c>
      <c r="D39">
        <v>112</v>
      </c>
      <c r="E39">
        <v>5</v>
      </c>
      <c r="F39" t="s">
        <v>115</v>
      </c>
      <c r="G39" t="s">
        <v>5</v>
      </c>
      <c r="H39">
        <v>112</v>
      </c>
    </row>
    <row r="40" spans="1:8" x14ac:dyDescent="0.3">
      <c r="A40" t="s">
        <v>57</v>
      </c>
      <c r="B40" t="s">
        <v>3</v>
      </c>
      <c r="C40" t="s">
        <v>16</v>
      </c>
      <c r="D40">
        <v>475</v>
      </c>
      <c r="E40">
        <v>2</v>
      </c>
      <c r="F40" t="s">
        <v>115</v>
      </c>
      <c r="G40" t="s">
        <v>5</v>
      </c>
      <c r="H40">
        <v>308.75</v>
      </c>
    </row>
    <row r="41" spans="1:8" x14ac:dyDescent="0.3">
      <c r="A41" t="s">
        <v>58</v>
      </c>
      <c r="B41" t="s">
        <v>4</v>
      </c>
      <c r="C41" t="s">
        <v>14</v>
      </c>
      <c r="D41">
        <v>310</v>
      </c>
      <c r="E41">
        <v>14</v>
      </c>
      <c r="F41" t="s">
        <v>114</v>
      </c>
      <c r="G41" t="s">
        <v>4</v>
      </c>
      <c r="H41">
        <v>310</v>
      </c>
    </row>
    <row r="42" spans="1:8" x14ac:dyDescent="0.3">
      <c r="A42" t="s">
        <v>59</v>
      </c>
      <c r="B42" t="s">
        <v>5</v>
      </c>
      <c r="C42" t="s">
        <v>28</v>
      </c>
      <c r="D42">
        <v>98.5</v>
      </c>
      <c r="E42">
        <v>4</v>
      </c>
      <c r="F42" t="s">
        <v>115</v>
      </c>
      <c r="G42" t="s">
        <v>5</v>
      </c>
      <c r="H42">
        <v>98.5</v>
      </c>
    </row>
    <row r="43" spans="1:8" x14ac:dyDescent="0.3">
      <c r="A43" t="s">
        <v>60</v>
      </c>
      <c r="B43" t="s">
        <v>7</v>
      </c>
      <c r="C43" t="s">
        <v>18</v>
      </c>
      <c r="D43">
        <v>225</v>
      </c>
      <c r="E43">
        <v>2</v>
      </c>
      <c r="F43" t="s">
        <v>115</v>
      </c>
      <c r="G43" t="s">
        <v>7</v>
      </c>
      <c r="H43">
        <v>225</v>
      </c>
    </row>
    <row r="44" spans="1:8" x14ac:dyDescent="0.3">
      <c r="A44" t="s">
        <v>61</v>
      </c>
      <c r="B44" t="s">
        <v>5</v>
      </c>
      <c r="C44" t="s">
        <v>14</v>
      </c>
      <c r="D44">
        <v>132</v>
      </c>
      <c r="E44">
        <v>6</v>
      </c>
      <c r="F44" t="s">
        <v>116</v>
      </c>
      <c r="G44" t="s">
        <v>5</v>
      </c>
      <c r="H44">
        <v>132</v>
      </c>
    </row>
    <row r="45" spans="1:8" x14ac:dyDescent="0.3">
      <c r="A45" t="s">
        <v>62</v>
      </c>
      <c r="B45" t="s">
        <v>3</v>
      </c>
      <c r="C45" t="s">
        <v>21</v>
      </c>
      <c r="D45">
        <v>495</v>
      </c>
      <c r="E45">
        <v>3</v>
      </c>
      <c r="F45" t="s">
        <v>114</v>
      </c>
      <c r="G45" t="s">
        <v>5</v>
      </c>
      <c r="H45">
        <v>321.75</v>
      </c>
    </row>
    <row r="46" spans="1:8" x14ac:dyDescent="0.3">
      <c r="A46" t="s">
        <v>63</v>
      </c>
      <c r="B46" t="s">
        <v>5</v>
      </c>
      <c r="C46" t="s">
        <v>16</v>
      </c>
      <c r="D46">
        <v>119</v>
      </c>
      <c r="E46">
        <v>5</v>
      </c>
      <c r="F46" t="s">
        <v>115</v>
      </c>
      <c r="G46" t="s">
        <v>5</v>
      </c>
      <c r="H46">
        <v>119</v>
      </c>
    </row>
    <row r="47" spans="1:8" x14ac:dyDescent="0.3">
      <c r="A47" t="s">
        <v>64</v>
      </c>
      <c r="B47" t="s">
        <v>4</v>
      </c>
      <c r="C47" t="s">
        <v>28</v>
      </c>
      <c r="D47">
        <v>295</v>
      </c>
      <c r="E47">
        <v>13</v>
      </c>
      <c r="F47" t="s">
        <v>115</v>
      </c>
      <c r="G47" t="s">
        <v>4</v>
      </c>
      <c r="H47">
        <v>295</v>
      </c>
    </row>
    <row r="48" spans="1:8" x14ac:dyDescent="0.3">
      <c r="A48" t="s">
        <v>65</v>
      </c>
      <c r="B48" t="s">
        <v>7</v>
      </c>
      <c r="C48" t="s">
        <v>14</v>
      </c>
      <c r="D48">
        <v>240</v>
      </c>
      <c r="E48">
        <v>2</v>
      </c>
      <c r="F48" t="s">
        <v>115</v>
      </c>
      <c r="G48" t="s">
        <v>7</v>
      </c>
      <c r="H48">
        <v>240</v>
      </c>
    </row>
    <row r="49" spans="1:8" x14ac:dyDescent="0.3">
      <c r="A49" t="s">
        <v>66</v>
      </c>
      <c r="B49" t="s">
        <v>5</v>
      </c>
      <c r="C49" t="s">
        <v>18</v>
      </c>
      <c r="D49">
        <v>104</v>
      </c>
      <c r="E49">
        <v>5</v>
      </c>
      <c r="F49" t="s">
        <v>115</v>
      </c>
      <c r="G49" t="s">
        <v>5</v>
      </c>
      <c r="H49">
        <v>104</v>
      </c>
    </row>
    <row r="50" spans="1:8" x14ac:dyDescent="0.3">
      <c r="A50" t="s">
        <v>67</v>
      </c>
      <c r="B50" t="s">
        <v>3</v>
      </c>
      <c r="C50" t="s">
        <v>28</v>
      </c>
      <c r="D50">
        <v>420</v>
      </c>
      <c r="E50">
        <v>2</v>
      </c>
      <c r="F50" t="s">
        <v>115</v>
      </c>
      <c r="G50" t="s">
        <v>5</v>
      </c>
      <c r="H50">
        <v>273</v>
      </c>
    </row>
    <row r="51" spans="1:8" x14ac:dyDescent="0.3">
      <c r="A51" t="s">
        <v>68</v>
      </c>
      <c r="B51" t="s">
        <v>5</v>
      </c>
      <c r="C51" t="s">
        <v>21</v>
      </c>
      <c r="D51">
        <v>122.5</v>
      </c>
      <c r="E51">
        <v>6</v>
      </c>
      <c r="F51" t="s">
        <v>116</v>
      </c>
      <c r="G51" t="s">
        <v>5</v>
      </c>
      <c r="H51">
        <v>122.5</v>
      </c>
    </row>
    <row r="52" spans="1:8" x14ac:dyDescent="0.3">
      <c r="A52" t="s">
        <v>69</v>
      </c>
      <c r="B52" t="s">
        <v>4</v>
      </c>
      <c r="C52" t="s">
        <v>16</v>
      </c>
      <c r="D52">
        <v>335</v>
      </c>
      <c r="E52">
        <v>15</v>
      </c>
      <c r="F52" t="s">
        <v>114</v>
      </c>
      <c r="G52" t="s">
        <v>4</v>
      </c>
      <c r="H52">
        <v>335</v>
      </c>
    </row>
    <row r="53" spans="1:8" x14ac:dyDescent="0.3">
      <c r="A53" t="s">
        <v>70</v>
      </c>
      <c r="B53" t="s">
        <v>7</v>
      </c>
      <c r="C53" t="s">
        <v>18</v>
      </c>
      <c r="D53">
        <v>215</v>
      </c>
      <c r="E53">
        <v>2</v>
      </c>
      <c r="F53" t="s">
        <v>115</v>
      </c>
      <c r="G53" t="s">
        <v>7</v>
      </c>
      <c r="H53">
        <v>215</v>
      </c>
    </row>
    <row r="54" spans="1:8" x14ac:dyDescent="0.3">
      <c r="A54" t="s">
        <v>71</v>
      </c>
      <c r="B54" t="s">
        <v>5</v>
      </c>
      <c r="C54" t="s">
        <v>14</v>
      </c>
      <c r="D54">
        <v>95</v>
      </c>
      <c r="E54">
        <v>4</v>
      </c>
      <c r="F54" t="s">
        <v>115</v>
      </c>
      <c r="G54" t="s">
        <v>5</v>
      </c>
      <c r="H54">
        <v>95</v>
      </c>
    </row>
    <row r="55" spans="1:8" x14ac:dyDescent="0.3">
      <c r="A55" t="s">
        <v>72</v>
      </c>
      <c r="B55" t="s">
        <v>3</v>
      </c>
      <c r="C55" t="s">
        <v>16</v>
      </c>
      <c r="D55">
        <v>515</v>
      </c>
      <c r="E55">
        <v>3</v>
      </c>
      <c r="F55" t="s">
        <v>114</v>
      </c>
      <c r="G55" t="s">
        <v>5</v>
      </c>
      <c r="H55">
        <v>334.75</v>
      </c>
    </row>
    <row r="56" spans="1:8" x14ac:dyDescent="0.3">
      <c r="A56" t="s">
        <v>73</v>
      </c>
      <c r="B56" t="s">
        <v>5</v>
      </c>
      <c r="C56" t="s">
        <v>28</v>
      </c>
      <c r="D56">
        <v>110</v>
      </c>
      <c r="E56">
        <v>5</v>
      </c>
      <c r="F56" t="s">
        <v>115</v>
      </c>
      <c r="G56" t="s">
        <v>5</v>
      </c>
      <c r="H56">
        <v>110</v>
      </c>
    </row>
    <row r="57" spans="1:8" x14ac:dyDescent="0.3">
      <c r="A57" t="s">
        <v>74</v>
      </c>
      <c r="B57" t="s">
        <v>4</v>
      </c>
      <c r="C57" t="s">
        <v>18</v>
      </c>
      <c r="D57">
        <v>305</v>
      </c>
      <c r="E57">
        <v>14</v>
      </c>
      <c r="F57" t="s">
        <v>115</v>
      </c>
      <c r="G57" t="s">
        <v>4</v>
      </c>
      <c r="H57">
        <v>305</v>
      </c>
    </row>
    <row r="58" spans="1:8" x14ac:dyDescent="0.3">
      <c r="A58" t="s">
        <v>75</v>
      </c>
      <c r="B58" t="s">
        <v>7</v>
      </c>
      <c r="C58" t="s">
        <v>21</v>
      </c>
      <c r="D58">
        <v>230</v>
      </c>
      <c r="E58">
        <v>2</v>
      </c>
      <c r="F58" t="s">
        <v>115</v>
      </c>
      <c r="G58" t="s">
        <v>7</v>
      </c>
      <c r="H58">
        <v>230</v>
      </c>
    </row>
    <row r="59" spans="1:8" x14ac:dyDescent="0.3">
      <c r="A59" t="s">
        <v>76</v>
      </c>
      <c r="B59" t="s">
        <v>5</v>
      </c>
      <c r="C59" t="s">
        <v>16</v>
      </c>
      <c r="D59">
        <v>142</v>
      </c>
      <c r="E59">
        <v>6</v>
      </c>
      <c r="F59" t="s">
        <v>115</v>
      </c>
      <c r="G59" t="s">
        <v>5</v>
      </c>
      <c r="H59">
        <v>142</v>
      </c>
    </row>
    <row r="60" spans="1:8" x14ac:dyDescent="0.3">
      <c r="A60" t="s">
        <v>77</v>
      </c>
      <c r="B60" t="s">
        <v>3</v>
      </c>
      <c r="C60" t="s">
        <v>14</v>
      </c>
      <c r="D60">
        <v>445</v>
      </c>
      <c r="E60">
        <v>2</v>
      </c>
      <c r="F60" t="s">
        <v>115</v>
      </c>
      <c r="G60" t="s">
        <v>5</v>
      </c>
      <c r="H60">
        <v>289.25</v>
      </c>
    </row>
    <row r="61" spans="1:8" x14ac:dyDescent="0.3">
      <c r="A61" t="s">
        <v>78</v>
      </c>
      <c r="B61" t="s">
        <v>5</v>
      </c>
      <c r="C61" t="s">
        <v>18</v>
      </c>
      <c r="D61">
        <v>89</v>
      </c>
      <c r="E61">
        <v>4</v>
      </c>
      <c r="F61" t="s">
        <v>116</v>
      </c>
      <c r="G61" t="s">
        <v>5</v>
      </c>
      <c r="H61">
        <v>89</v>
      </c>
    </row>
    <row r="62" spans="1:8" x14ac:dyDescent="0.3">
      <c r="A62" t="s">
        <v>79</v>
      </c>
      <c r="B62" t="s">
        <v>4</v>
      </c>
      <c r="C62" t="s">
        <v>28</v>
      </c>
      <c r="D62">
        <v>275</v>
      </c>
      <c r="E62">
        <v>12</v>
      </c>
      <c r="F62" t="s">
        <v>115</v>
      </c>
      <c r="G62" t="s">
        <v>4</v>
      </c>
      <c r="H62">
        <v>275</v>
      </c>
    </row>
    <row r="63" spans="1:8" x14ac:dyDescent="0.3">
      <c r="A63" t="s">
        <v>80</v>
      </c>
      <c r="B63" t="s">
        <v>7</v>
      </c>
      <c r="C63" t="s">
        <v>16</v>
      </c>
      <c r="D63">
        <v>250</v>
      </c>
      <c r="E63">
        <v>3</v>
      </c>
      <c r="F63" t="s">
        <v>115</v>
      </c>
      <c r="G63" t="s">
        <v>7</v>
      </c>
      <c r="H63">
        <v>250</v>
      </c>
    </row>
    <row r="64" spans="1:8" x14ac:dyDescent="0.3">
      <c r="A64" t="s">
        <v>81</v>
      </c>
      <c r="B64" t="s">
        <v>5</v>
      </c>
      <c r="C64" t="s">
        <v>14</v>
      </c>
      <c r="D64">
        <v>115.5</v>
      </c>
      <c r="E64">
        <v>5</v>
      </c>
      <c r="F64" t="s">
        <v>115</v>
      </c>
      <c r="G64" t="s">
        <v>5</v>
      </c>
      <c r="H64">
        <v>115.5</v>
      </c>
    </row>
    <row r="65" spans="1:8" x14ac:dyDescent="0.3">
      <c r="A65" t="s">
        <v>82</v>
      </c>
      <c r="B65" t="s">
        <v>3</v>
      </c>
      <c r="C65" t="s">
        <v>18</v>
      </c>
      <c r="D65">
        <v>485</v>
      </c>
      <c r="E65">
        <v>2</v>
      </c>
      <c r="F65" t="s">
        <v>114</v>
      </c>
      <c r="G65" t="s">
        <v>5</v>
      </c>
      <c r="H65">
        <v>315.25</v>
      </c>
    </row>
    <row r="66" spans="1:8" x14ac:dyDescent="0.3">
      <c r="A66" t="s">
        <v>83</v>
      </c>
      <c r="B66" t="s">
        <v>5</v>
      </c>
      <c r="C66" t="s">
        <v>21</v>
      </c>
      <c r="D66">
        <v>128</v>
      </c>
      <c r="E66">
        <v>5</v>
      </c>
      <c r="F66" t="s">
        <v>115</v>
      </c>
      <c r="G66" t="s">
        <v>5</v>
      </c>
      <c r="H66">
        <v>128</v>
      </c>
    </row>
    <row r="67" spans="1:8" x14ac:dyDescent="0.3">
      <c r="A67" t="s">
        <v>84</v>
      </c>
      <c r="B67" t="s">
        <v>7</v>
      </c>
      <c r="C67" t="s">
        <v>28</v>
      </c>
      <c r="D67">
        <v>205</v>
      </c>
      <c r="E67">
        <v>2</v>
      </c>
      <c r="F67" t="s">
        <v>115</v>
      </c>
      <c r="G67" t="s">
        <v>7</v>
      </c>
      <c r="H67">
        <v>205</v>
      </c>
    </row>
    <row r="68" spans="1:8" x14ac:dyDescent="0.3">
      <c r="A68" t="s">
        <v>85</v>
      </c>
      <c r="B68" t="s">
        <v>4</v>
      </c>
      <c r="C68" t="s">
        <v>14</v>
      </c>
      <c r="D68">
        <v>320</v>
      </c>
      <c r="E68">
        <v>13</v>
      </c>
      <c r="F68" t="s">
        <v>115</v>
      </c>
      <c r="G68" t="s">
        <v>4</v>
      </c>
      <c r="H68">
        <v>320</v>
      </c>
    </row>
    <row r="69" spans="1:8" x14ac:dyDescent="0.3">
      <c r="A69" t="s">
        <v>86</v>
      </c>
      <c r="B69" t="s">
        <v>5</v>
      </c>
      <c r="C69" t="s">
        <v>16</v>
      </c>
      <c r="D69">
        <v>138</v>
      </c>
      <c r="E69">
        <v>5</v>
      </c>
      <c r="F69" t="s">
        <v>115</v>
      </c>
      <c r="G69" t="s">
        <v>5</v>
      </c>
      <c r="H69">
        <v>138</v>
      </c>
    </row>
    <row r="70" spans="1:8" x14ac:dyDescent="0.3">
      <c r="A70" t="s">
        <v>87</v>
      </c>
      <c r="B70" t="s">
        <v>3</v>
      </c>
      <c r="C70" t="s">
        <v>21</v>
      </c>
      <c r="D70">
        <v>465</v>
      </c>
      <c r="E70">
        <v>2</v>
      </c>
      <c r="F70" t="s">
        <v>115</v>
      </c>
      <c r="G70" t="s">
        <v>5</v>
      </c>
      <c r="H70">
        <v>302.25</v>
      </c>
    </row>
    <row r="71" spans="1:8" x14ac:dyDescent="0.3">
      <c r="A71" t="s">
        <v>88</v>
      </c>
      <c r="B71" t="s">
        <v>5</v>
      </c>
      <c r="C71" t="s">
        <v>18</v>
      </c>
      <c r="D71">
        <v>96</v>
      </c>
      <c r="E71">
        <v>4</v>
      </c>
      <c r="F71" t="s">
        <v>116</v>
      </c>
      <c r="G71" t="s">
        <v>5</v>
      </c>
      <c r="H71">
        <v>96</v>
      </c>
    </row>
    <row r="72" spans="1:8" x14ac:dyDescent="0.3">
      <c r="A72" t="s">
        <v>89</v>
      </c>
      <c r="B72" t="s">
        <v>4</v>
      </c>
      <c r="C72" t="s">
        <v>28</v>
      </c>
      <c r="D72">
        <v>290</v>
      </c>
      <c r="E72">
        <v>14</v>
      </c>
      <c r="F72" t="s">
        <v>115</v>
      </c>
      <c r="G72" t="s">
        <v>4</v>
      </c>
      <c r="H72">
        <v>290</v>
      </c>
    </row>
    <row r="73" spans="1:8" x14ac:dyDescent="0.3">
      <c r="A73" t="s">
        <v>90</v>
      </c>
      <c r="B73" t="s">
        <v>7</v>
      </c>
      <c r="C73" t="s">
        <v>14</v>
      </c>
      <c r="D73">
        <v>220</v>
      </c>
      <c r="E73">
        <v>2</v>
      </c>
      <c r="F73" t="s">
        <v>115</v>
      </c>
      <c r="G73" t="s">
        <v>7</v>
      </c>
      <c r="H73">
        <v>220</v>
      </c>
    </row>
    <row r="74" spans="1:8" x14ac:dyDescent="0.3">
      <c r="A74" t="s">
        <v>91</v>
      </c>
      <c r="B74" t="s">
        <v>5</v>
      </c>
      <c r="C74" t="s">
        <v>21</v>
      </c>
      <c r="D74">
        <v>108</v>
      </c>
      <c r="E74">
        <v>5</v>
      </c>
      <c r="F74" t="s">
        <v>115</v>
      </c>
      <c r="G74" t="s">
        <v>5</v>
      </c>
      <c r="H74">
        <v>108</v>
      </c>
    </row>
    <row r="75" spans="1:8" x14ac:dyDescent="0.3">
      <c r="A75" t="s">
        <v>92</v>
      </c>
      <c r="B75" t="s">
        <v>3</v>
      </c>
      <c r="C75" t="s">
        <v>16</v>
      </c>
      <c r="D75">
        <v>530</v>
      </c>
      <c r="E75">
        <v>3</v>
      </c>
      <c r="F75" t="s">
        <v>114</v>
      </c>
      <c r="G75" t="s">
        <v>5</v>
      </c>
      <c r="H75">
        <v>344.5</v>
      </c>
    </row>
    <row r="76" spans="1:8" x14ac:dyDescent="0.3">
      <c r="A76" t="s">
        <v>93</v>
      </c>
      <c r="B76" t="s">
        <v>5</v>
      </c>
      <c r="C76" t="s">
        <v>28</v>
      </c>
      <c r="D76">
        <v>114</v>
      </c>
      <c r="E76">
        <v>5</v>
      </c>
      <c r="F76" t="s">
        <v>115</v>
      </c>
      <c r="G76" t="s">
        <v>5</v>
      </c>
      <c r="H76">
        <v>114</v>
      </c>
    </row>
    <row r="77" spans="1:8" x14ac:dyDescent="0.3">
      <c r="A77" t="s">
        <v>94</v>
      </c>
      <c r="B77" t="s">
        <v>4</v>
      </c>
      <c r="C77" t="s">
        <v>18</v>
      </c>
      <c r="D77">
        <v>312</v>
      </c>
      <c r="E77">
        <v>13</v>
      </c>
      <c r="F77" t="s">
        <v>115</v>
      </c>
      <c r="G77" t="s">
        <v>4</v>
      </c>
      <c r="H77">
        <v>312</v>
      </c>
    </row>
    <row r="78" spans="1:8" x14ac:dyDescent="0.3">
      <c r="A78" t="s">
        <v>95</v>
      </c>
      <c r="B78" t="s">
        <v>7</v>
      </c>
      <c r="C78" t="s">
        <v>14</v>
      </c>
      <c r="D78">
        <v>218</v>
      </c>
      <c r="E78">
        <v>2</v>
      </c>
      <c r="F78" t="s">
        <v>115</v>
      </c>
      <c r="G78" t="s">
        <v>7</v>
      </c>
      <c r="H78">
        <v>218</v>
      </c>
    </row>
    <row r="79" spans="1:8" x14ac:dyDescent="0.3">
      <c r="A79" t="s">
        <v>96</v>
      </c>
      <c r="B79" t="s">
        <v>5</v>
      </c>
      <c r="C79" t="s">
        <v>16</v>
      </c>
      <c r="D79">
        <v>125</v>
      </c>
      <c r="E79">
        <v>5</v>
      </c>
      <c r="F79" t="s">
        <v>115</v>
      </c>
      <c r="G79" t="s">
        <v>5</v>
      </c>
      <c r="H79">
        <v>125</v>
      </c>
    </row>
    <row r="80" spans="1:8" x14ac:dyDescent="0.3">
      <c r="A80" t="s">
        <v>97</v>
      </c>
      <c r="B80" t="s">
        <v>3</v>
      </c>
      <c r="C80" t="s">
        <v>14</v>
      </c>
      <c r="D80">
        <v>455</v>
      </c>
      <c r="E80">
        <v>2</v>
      </c>
      <c r="F80" t="s">
        <v>115</v>
      </c>
      <c r="G80" t="s">
        <v>5</v>
      </c>
      <c r="H80">
        <v>295.75</v>
      </c>
    </row>
    <row r="81" spans="1:17" x14ac:dyDescent="0.3">
      <c r="A81" t="s">
        <v>98</v>
      </c>
      <c r="B81" t="s">
        <v>5</v>
      </c>
      <c r="C81" t="s">
        <v>18</v>
      </c>
      <c r="D81">
        <v>94</v>
      </c>
      <c r="E81">
        <v>4</v>
      </c>
      <c r="F81" t="s">
        <v>115</v>
      </c>
      <c r="G81" t="s">
        <v>5</v>
      </c>
      <c r="H81">
        <v>94</v>
      </c>
    </row>
    <row r="82" spans="1:17" x14ac:dyDescent="0.3">
      <c r="A82" t="s">
        <v>99</v>
      </c>
      <c r="B82" t="s">
        <v>4</v>
      </c>
      <c r="C82" t="s">
        <v>28</v>
      </c>
      <c r="D82">
        <v>280</v>
      </c>
      <c r="E82">
        <v>14</v>
      </c>
      <c r="F82" t="s">
        <v>114</v>
      </c>
      <c r="G82" t="s">
        <v>4</v>
      </c>
      <c r="H82">
        <v>280</v>
      </c>
    </row>
    <row r="83" spans="1:17" x14ac:dyDescent="0.3">
      <c r="A83" t="s">
        <v>100</v>
      </c>
      <c r="B83" t="s">
        <v>7</v>
      </c>
      <c r="C83" t="s">
        <v>21</v>
      </c>
      <c r="D83">
        <v>235</v>
      </c>
      <c r="E83">
        <v>2</v>
      </c>
      <c r="F83" t="s">
        <v>115</v>
      </c>
      <c r="G83" t="s">
        <v>7</v>
      </c>
      <c r="H83">
        <v>235</v>
      </c>
      <c r="Q83" t="s">
        <v>118</v>
      </c>
    </row>
    <row r="84" spans="1:17" x14ac:dyDescent="0.3">
      <c r="A84" t="s">
        <v>101</v>
      </c>
      <c r="B84" t="s">
        <v>5</v>
      </c>
      <c r="C84" t="s">
        <v>14</v>
      </c>
      <c r="D84">
        <v>119.5</v>
      </c>
      <c r="E84">
        <v>5</v>
      </c>
      <c r="F84" t="s">
        <v>115</v>
      </c>
      <c r="G84" t="s">
        <v>5</v>
      </c>
      <c r="H84">
        <v>119.5</v>
      </c>
    </row>
    <row r="85" spans="1:17" x14ac:dyDescent="0.3">
      <c r="A85" t="s">
        <v>102</v>
      </c>
      <c r="B85" t="s">
        <v>3</v>
      </c>
      <c r="C85" t="s">
        <v>16</v>
      </c>
      <c r="D85">
        <v>490</v>
      </c>
      <c r="E85">
        <v>3</v>
      </c>
      <c r="F85" t="s">
        <v>114</v>
      </c>
      <c r="G85" t="s">
        <v>5</v>
      </c>
      <c r="H85">
        <v>318.5</v>
      </c>
    </row>
    <row r="86" spans="1:17" x14ac:dyDescent="0.3">
      <c r="A86" t="s">
        <v>103</v>
      </c>
      <c r="B86" t="s">
        <v>5</v>
      </c>
      <c r="C86" t="s">
        <v>28</v>
      </c>
      <c r="D86">
        <v>105</v>
      </c>
      <c r="E86">
        <v>5</v>
      </c>
      <c r="F86" t="s">
        <v>115</v>
      </c>
      <c r="G86" t="s">
        <v>5</v>
      </c>
      <c r="H86">
        <v>105</v>
      </c>
    </row>
    <row r="87" spans="1:17" x14ac:dyDescent="0.3">
      <c r="A87" t="s">
        <v>104</v>
      </c>
      <c r="B87" t="s">
        <v>4</v>
      </c>
      <c r="C87" t="s">
        <v>18</v>
      </c>
      <c r="D87">
        <v>318</v>
      </c>
      <c r="E87">
        <v>13</v>
      </c>
      <c r="F87" t="s">
        <v>115</v>
      </c>
      <c r="G87" t="s">
        <v>4</v>
      </c>
      <c r="H87">
        <v>318</v>
      </c>
    </row>
    <row r="88" spans="1:17" x14ac:dyDescent="0.3">
      <c r="A88" t="s">
        <v>105</v>
      </c>
      <c r="B88" t="s">
        <v>7</v>
      </c>
      <c r="C88" t="s">
        <v>14</v>
      </c>
      <c r="D88">
        <v>228</v>
      </c>
      <c r="E88">
        <v>2</v>
      </c>
      <c r="F88" t="s">
        <v>115</v>
      </c>
      <c r="G88" t="s">
        <v>7</v>
      </c>
      <c r="H88">
        <v>228</v>
      </c>
    </row>
    <row r="89" spans="1:17" x14ac:dyDescent="0.3">
      <c r="C89" t="s">
        <v>106</v>
      </c>
      <c r="D89">
        <v>21845.3</v>
      </c>
      <c r="G89" t="s">
        <v>117</v>
      </c>
      <c r="H89">
        <v>18684.625</v>
      </c>
    </row>
    <row r="90" spans="1:17" x14ac:dyDescent="0.3">
      <c r="C90" t="s">
        <v>107</v>
      </c>
      <c r="D90">
        <v>3160.6750000000002</v>
      </c>
    </row>
    <row r="91" spans="1:17" x14ac:dyDescent="0.3">
      <c r="C91" t="s">
        <v>108</v>
      </c>
      <c r="D91">
        <v>14.468444010000001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SHIPMENT CSV PROJ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Tanisha Das</cp:lastModifiedBy>
  <dcterms:created xsi:type="dcterms:W3CDTF">2026-10-18T11:40:11Z</dcterms:created>
  <dcterms:modified xsi:type="dcterms:W3CDTF">2026-10-18T11:40:11Z</dcterms:modified>
</cp:coreProperties>
</file>